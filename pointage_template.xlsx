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comlu-my.sharepoint.com/personal/salmonn_socom_lu/Documents/Bureau/"/>
    </mc:Choice>
  </mc:AlternateContent>
  <xr:revisionPtr revIDLastSave="13" documentId="8_{7BEF8B5A-1BD5-4577-BE00-720A3742139D}" xr6:coauthVersionLast="47" xr6:coauthVersionMax="47" xr10:uidLastSave="{E2C9D049-C228-4071-89E8-4559202DF7DD}"/>
  <bookViews>
    <workbookView xWindow="-108" yWindow="-108" windowWidth="23256" windowHeight="13896" xr2:uid="{00000000-000D-0000-FFFF-FFFF00000000}"/>
  </bookViews>
  <sheets>
    <sheet name="Feuille de pointage" sheetId="14" r:id="rId1"/>
  </sheets>
  <calcPr calcId="191029"/>
  <customWorkbookViews>
    <customWorkbookView name="carvalho - Affichage personnalisé" guid="{B5548CF2-CCF3-48F1-A981-4B065FE17094}" mergeInterval="0" personalView="1" maximized="1" windowWidth="1148" windowHeight="674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4" l="1"/>
  <c r="E16" i="14"/>
  <c r="L33" i="14"/>
  <c r="D5" i="14" l="1"/>
  <c r="J14" i="14" l="1"/>
  <c r="M14" i="14" s="1"/>
  <c r="P14" i="14" s="1"/>
  <c r="S14" i="14" s="1"/>
  <c r="V14" i="14" s="1"/>
  <c r="Y14" i="14" s="1"/>
  <c r="H5" i="14" s="1"/>
  <c r="AB14" i="14"/>
  <c r="Y33" i="14"/>
  <c r="X33" i="14"/>
  <c r="V33" i="14"/>
  <c r="U33" i="14"/>
  <c r="S33" i="14"/>
  <c r="R33" i="14"/>
  <c r="P33" i="14"/>
  <c r="O33" i="14"/>
  <c r="M33" i="14"/>
  <c r="J33" i="14"/>
  <c r="I33" i="14"/>
  <c r="G33" i="14"/>
  <c r="F33" i="14"/>
  <c r="AA33" i="14" l="1"/>
</calcChain>
</file>

<file path=xl/sharedStrings.xml><?xml version="1.0" encoding="utf-8"?>
<sst xmlns="http://schemas.openxmlformats.org/spreadsheetml/2006/main" count="98" uniqueCount="67">
  <si>
    <r>
      <t xml:space="preserve">                                                        </t>
    </r>
    <r>
      <rPr>
        <sz val="12"/>
        <rFont val="Calibri"/>
        <family val="2"/>
      </rPr>
      <t xml:space="preserve">          10 Rue du Commerce – L3895 FOETZ</t>
    </r>
  </si>
  <si>
    <t xml:space="preserve">                                                                        Tél : 55 14 15 1    Fax : 57 31 22</t>
  </si>
  <si>
    <t>POINTAGE</t>
  </si>
  <si>
    <t>Semaine N°:</t>
  </si>
  <si>
    <t>Du:</t>
  </si>
  <si>
    <t>Au:</t>
  </si>
  <si>
    <t>Service:</t>
  </si>
  <si>
    <t>Codes à utiliser en complément d'information d'un ouvrier et à mettre dans la colonne journalière</t>
  </si>
  <si>
    <r>
      <rPr>
        <b/>
        <sz val="10"/>
        <rFont val="Calibri"/>
        <family val="2"/>
        <scheme val="minor"/>
      </rPr>
      <t>C:</t>
    </r>
    <r>
      <rPr>
        <sz val="10"/>
        <rFont val="Calibri"/>
        <family val="2"/>
        <scheme val="minor"/>
      </rPr>
      <t xml:space="preserve"> Congé payé</t>
    </r>
  </si>
  <si>
    <r>
      <rPr>
        <b/>
        <sz val="10"/>
        <rFont val="Calibri"/>
        <family val="2"/>
        <scheme val="minor"/>
      </rPr>
      <t>CX:</t>
    </r>
    <r>
      <rPr>
        <sz val="10"/>
        <rFont val="Calibri"/>
        <family val="2"/>
        <scheme val="minor"/>
      </rPr>
      <t xml:space="preserve"> Congé exceptionnel</t>
    </r>
  </si>
  <si>
    <r>
      <rPr>
        <b/>
        <sz val="10"/>
        <rFont val="Calibri"/>
        <family val="2"/>
        <scheme val="minor"/>
      </rPr>
      <t>E:</t>
    </r>
    <r>
      <rPr>
        <sz val="10"/>
        <rFont val="Calibri"/>
        <family val="2"/>
        <scheme val="minor"/>
      </rPr>
      <t xml:space="preserve"> Ecole</t>
    </r>
  </si>
  <si>
    <r>
      <rPr>
        <b/>
        <sz val="10"/>
        <rFont val="Calibri"/>
        <family val="2"/>
        <scheme val="minor"/>
      </rPr>
      <t>M:</t>
    </r>
    <r>
      <rPr>
        <sz val="10"/>
        <rFont val="Calibri"/>
        <family val="2"/>
        <scheme val="minor"/>
      </rPr>
      <t xml:space="preserve"> Maladie</t>
    </r>
  </si>
  <si>
    <r>
      <rPr>
        <b/>
        <sz val="10"/>
        <rFont val="Calibri"/>
        <family val="2"/>
        <scheme val="minor"/>
      </rPr>
      <t>AT</t>
    </r>
    <r>
      <rPr>
        <sz val="10"/>
        <rFont val="Calibri"/>
        <family val="2"/>
        <scheme val="minor"/>
      </rPr>
      <t>: Accident du travail</t>
    </r>
  </si>
  <si>
    <r>
      <rPr>
        <b/>
        <sz val="10"/>
        <rFont val="Calibri"/>
        <family val="2"/>
        <scheme val="minor"/>
      </rPr>
      <t>F:</t>
    </r>
    <r>
      <rPr>
        <sz val="10"/>
        <rFont val="Calibri"/>
        <family val="2"/>
        <scheme val="minor"/>
      </rPr>
      <t xml:space="preserve"> Férié</t>
    </r>
  </si>
  <si>
    <r>
      <rPr>
        <b/>
        <sz val="10"/>
        <rFont val="Calibri"/>
        <family val="2"/>
        <scheme val="minor"/>
      </rPr>
      <t>AM:</t>
    </r>
    <r>
      <rPr>
        <sz val="10"/>
        <rFont val="Calibri"/>
        <family val="2"/>
        <scheme val="minor"/>
      </rPr>
      <t xml:space="preserve"> Absence motivée</t>
    </r>
  </si>
  <si>
    <r>
      <rPr>
        <b/>
        <sz val="10"/>
        <rFont val="Calibri"/>
        <family val="2"/>
        <scheme val="minor"/>
      </rPr>
      <t>A:</t>
    </r>
    <r>
      <rPr>
        <sz val="10"/>
        <rFont val="Calibri"/>
        <family val="2"/>
        <scheme val="minor"/>
      </rPr>
      <t xml:space="preserve"> Absence non motivée</t>
    </r>
  </si>
  <si>
    <r>
      <rPr>
        <b/>
        <sz val="10"/>
        <rFont val="Calibri"/>
        <family val="2"/>
        <scheme val="minor"/>
      </rPr>
      <t>RF:</t>
    </r>
    <r>
      <rPr>
        <sz val="10"/>
        <rFont val="Calibri"/>
        <family val="2"/>
        <scheme val="minor"/>
      </rPr>
      <t xml:space="preserve"> Récup jour férié</t>
    </r>
  </si>
  <si>
    <r>
      <rPr>
        <b/>
        <sz val="10"/>
        <rFont val="Calibri"/>
        <family val="2"/>
        <scheme val="minor"/>
      </rPr>
      <t>RC:</t>
    </r>
    <r>
      <rPr>
        <sz val="10"/>
        <rFont val="Calibri"/>
        <family val="2"/>
        <scheme val="minor"/>
      </rPr>
      <t xml:space="preserve"> Récup compteur </t>
    </r>
  </si>
  <si>
    <r>
      <rPr>
        <b/>
        <sz val="10"/>
        <rFont val="Calibri"/>
        <family val="2"/>
        <scheme val="minor"/>
      </rPr>
      <t>FO:</t>
    </r>
    <r>
      <rPr>
        <sz val="10"/>
        <rFont val="Calibri"/>
        <family val="2"/>
        <scheme val="minor"/>
      </rPr>
      <t xml:space="preserve"> Formation</t>
    </r>
  </si>
  <si>
    <r>
      <t xml:space="preserve">Hrs : </t>
    </r>
    <r>
      <rPr>
        <sz val="9"/>
        <rFont val="Calibri"/>
        <family val="2"/>
        <scheme val="minor"/>
      </rPr>
      <t>Heures jours</t>
    </r>
    <r>
      <rPr>
        <b/>
        <sz val="9"/>
        <rFont val="Calibri"/>
        <family val="2"/>
        <scheme val="minor"/>
      </rPr>
      <t xml:space="preserve">  /   Hn: </t>
    </r>
    <r>
      <rPr>
        <sz val="9"/>
        <rFont val="Calibri"/>
        <family val="2"/>
        <scheme val="minor"/>
      </rPr>
      <t xml:space="preserve">Heures de nuit  /  </t>
    </r>
    <r>
      <rPr>
        <b/>
        <sz val="9"/>
        <rFont val="Calibri"/>
        <family val="2"/>
        <scheme val="minor"/>
      </rPr>
      <t>Co:</t>
    </r>
    <r>
      <rPr>
        <sz val="9"/>
        <rFont val="Calibri"/>
        <family val="2"/>
        <scheme val="minor"/>
      </rPr>
      <t xml:space="preserve"> Codes</t>
    </r>
  </si>
  <si>
    <t>Jours / Date</t>
  </si>
  <si>
    <t>L</t>
  </si>
  <si>
    <t>M</t>
  </si>
  <si>
    <t>J</t>
  </si>
  <si>
    <t>V</t>
  </si>
  <si>
    <t>S</t>
  </si>
  <si>
    <t>D</t>
  </si>
  <si>
    <t>N° Projet</t>
  </si>
  <si>
    <t>Hrs</t>
  </si>
  <si>
    <t>Hn</t>
  </si>
  <si>
    <t>Co</t>
  </si>
  <si>
    <t>Remarque</t>
  </si>
  <si>
    <t>Nota : La feuille de pointage doit être déposée au secrétariat du service au plus tard le mardi de chaque semaine et le lendemain du dernier jour du mois</t>
  </si>
  <si>
    <t>FEUILLE DE POINTAGE</t>
  </si>
  <si>
    <r>
      <t xml:space="preserve">Page </t>
    </r>
    <r>
      <rPr>
        <b/>
        <sz val="8"/>
        <rFont val="Calibri"/>
        <family val="2"/>
      </rPr>
      <t>1</t>
    </r>
    <r>
      <rPr>
        <sz val="8"/>
        <rFont val="Calibri"/>
        <family val="2"/>
      </rPr>
      <t xml:space="preserve"> sur </t>
    </r>
    <r>
      <rPr>
        <b/>
        <sz val="8"/>
        <rFont val="Calibri"/>
        <family val="2"/>
      </rPr>
      <t>1</t>
    </r>
  </si>
  <si>
    <t>Matricule</t>
  </si>
  <si>
    <t>SALMON Nicolas</t>
  </si>
  <si>
    <t>NOM / Prénom :</t>
  </si>
  <si>
    <t>DE SOUSA Carlos</t>
  </si>
  <si>
    <t>JUNGER Pierre</t>
  </si>
  <si>
    <t>Signature du Directeur de service :</t>
  </si>
  <si>
    <t>Maintenance &amp; Rénovations</t>
  </si>
  <si>
    <t>/</t>
  </si>
  <si>
    <t>P25453</t>
  </si>
  <si>
    <t>FERIE</t>
  </si>
  <si>
    <t>F</t>
  </si>
  <si>
    <t>P33809</t>
  </si>
  <si>
    <t>ALL SPRING</t>
  </si>
  <si>
    <t>ANDBANK</t>
  </si>
  <si>
    <t>P24229</t>
  </si>
  <si>
    <t>P25155</t>
  </si>
  <si>
    <t>GOODYEAR</t>
  </si>
  <si>
    <t>P28478</t>
  </si>
  <si>
    <t>ARCELOR</t>
  </si>
  <si>
    <t>F2483</t>
  </si>
  <si>
    <t xml:space="preserve">TRI POSTAL </t>
  </si>
  <si>
    <t>SOCOM DEPANNAGE MODULE GP4</t>
  </si>
  <si>
    <t>EMERALD</t>
  </si>
  <si>
    <t>SUP</t>
  </si>
  <si>
    <t>BEI</t>
  </si>
  <si>
    <t>Numéro BP ou BC</t>
  </si>
  <si>
    <t>Nom du projet ou chantier</t>
  </si>
  <si>
    <t>P253658</t>
  </si>
  <si>
    <t>P45632</t>
  </si>
  <si>
    <t>Manager :</t>
  </si>
  <si>
    <t>Technicien</t>
  </si>
  <si>
    <t>Signature du 
Manager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</si>
</sst>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8" x14ac:knownFonts="1">
    <font>
      <sz val="10"/>
      <name val="Arial"/>
    </font>
    <font>
      <b/>
      <sz val="9"/>
      <name val="Calibri"/>
      <family val="2"/>
      <scheme val="minor"/>
    </font>
    <font>
      <sz val="8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i/>
      <sz val="10"/>
      <name val="Calibri"/>
      <family val="2"/>
      <scheme val="minor"/>
    </font>
    <font>
      <sz val="12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9"/>
      <name val="Times New Roman"/>
      <family val="1"/>
    </font>
    <font>
      <sz val="9"/>
      <color rgb="FF808080"/>
      <name val="Calibri"/>
      <family val="2"/>
    </font>
    <font>
      <b/>
      <sz val="8"/>
      <name val="Calibri"/>
      <family val="2"/>
    </font>
    <font>
      <b/>
      <sz val="12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9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1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19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0" borderId="38" xfId="0" applyFont="1" applyBorder="1"/>
    <xf numFmtId="0" fontId="1" fillId="4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5" fillId="5" borderId="1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30" xfId="0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2" borderId="47" xfId="0" applyFont="1" applyFill="1" applyBorder="1" applyAlignment="1">
      <alignment horizontal="center" vertical="center"/>
    </xf>
    <xf numFmtId="0" fontId="15" fillId="2" borderId="46" xfId="0" applyFont="1" applyFill="1" applyBorder="1" applyAlignment="1">
      <alignment horizontal="center" vertical="center"/>
    </xf>
    <xf numFmtId="0" fontId="15" fillId="2" borderId="44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164" fontId="16" fillId="0" borderId="0" xfId="0" applyNumberFormat="1" applyFont="1"/>
    <xf numFmtId="0" fontId="17" fillId="0" borderId="4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0" fontId="3" fillId="0" borderId="3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36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" fillId="2" borderId="14" xfId="0" applyNumberFormat="1" applyFont="1" applyFill="1" applyBorder="1" applyAlignment="1">
      <alignment horizontal="center" vertical="center"/>
    </xf>
    <xf numFmtId="164" fontId="1" fillId="2" borderId="15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6" borderId="14" xfId="0" applyNumberFormat="1" applyFont="1" applyFill="1" applyBorder="1" applyAlignment="1">
      <alignment horizontal="center" vertical="center"/>
    </xf>
    <xf numFmtId="164" fontId="1" fillId="6" borderId="15" xfId="0" applyNumberFormat="1" applyFont="1" applyFill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4" fontId="3" fillId="0" borderId="36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4" fillId="0" borderId="36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11" fillId="0" borderId="50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53339</xdr:colOff>
      <xdr:row>0</xdr:row>
      <xdr:rowOff>47625</xdr:rowOff>
    </xdr:from>
    <xdr:to>
      <xdr:col>1</xdr:col>
      <xdr:colOff>756922</xdr:colOff>
      <xdr:row>1</xdr:row>
      <xdr:rowOff>274320</xdr:rowOff>
    </xdr:to>
    <xdr:pic>
      <xdr:nvPicPr>
        <xdr:cNvPr id="3" name="Imag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339" y="47625"/>
          <a:ext cx="2280923" cy="5314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40"/>
  <sheetViews>
    <sheetView showGridLines="0" tabSelected="1" topLeftCell="A17" zoomScale="80" zoomScaleNormal="80" workbookViewId="0">
      <selection activeCell="A37" sqref="A37"/>
    </sheetView>
  </sheetViews>
  <sheetFormatPr baseColWidth="10" defaultColWidth="11.44140625" defaultRowHeight="13.8" x14ac:dyDescent="0.3"/>
  <cols>
    <col min="1" max="1" width="23" style="4" bestFit="1" customWidth="1"/>
    <col min="2" max="2" width="41.33203125" style="4" customWidth="1"/>
    <col min="3" max="3" width="8.109375" style="4" customWidth="1"/>
    <col min="4" max="4" width="14.33203125" style="4" customWidth="1"/>
    <col min="5" max="5" width="10" style="4" customWidth="1"/>
    <col min="6" max="26" width="5.6640625" style="4" customWidth="1"/>
    <col min="27" max="27" width="2.5546875" style="4" customWidth="1"/>
    <col min="28" max="28" width="22.5546875" style="4" customWidth="1"/>
    <col min="29" max="16384" width="11.44140625" style="4"/>
  </cols>
  <sheetData>
    <row r="1" spans="1:34" ht="24" customHeight="1" x14ac:dyDescent="0.3">
      <c r="A1" s="100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17"/>
      <c r="AB1" s="118"/>
    </row>
    <row r="2" spans="1:34" ht="24" customHeight="1" x14ac:dyDescent="0.3">
      <c r="A2" s="103" t="s">
        <v>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19"/>
      <c r="AB2" s="120"/>
    </row>
    <row r="3" spans="1:34" ht="18" customHeight="1" x14ac:dyDescent="0.3">
      <c r="A3" s="101" t="s">
        <v>2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2"/>
    </row>
    <row r="4" spans="1:34" ht="8.1" customHeight="1" x14ac:dyDescent="0.3"/>
    <row r="5" spans="1:34" s="6" customFormat="1" ht="24" customHeight="1" x14ac:dyDescent="0.25">
      <c r="A5" s="13" t="s">
        <v>3</v>
      </c>
      <c r="B5" s="21">
        <v>15</v>
      </c>
      <c r="C5" s="19" t="s">
        <v>4</v>
      </c>
      <c r="D5" s="99">
        <f>G14</f>
        <v>46118</v>
      </c>
      <c r="E5" s="63"/>
      <c r="F5" s="61" t="s">
        <v>5</v>
      </c>
      <c r="G5" s="63"/>
      <c r="H5" s="99">
        <f>Y14</f>
        <v>46124</v>
      </c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3"/>
      <c r="V5" s="61" t="s">
        <v>6</v>
      </c>
      <c r="W5" s="62"/>
      <c r="X5" s="61" t="s">
        <v>41</v>
      </c>
      <c r="Y5" s="62"/>
      <c r="Z5" s="62"/>
      <c r="AA5" s="62"/>
      <c r="AB5" s="63"/>
    </row>
    <row r="6" spans="1:34" ht="8.1" customHeight="1" x14ac:dyDescent="0.3"/>
    <row r="7" spans="1:34" s="6" customFormat="1" ht="24" customHeight="1" x14ac:dyDescent="0.25">
      <c r="A7" s="19" t="s">
        <v>65</v>
      </c>
      <c r="B7" s="61" t="s">
        <v>39</v>
      </c>
      <c r="C7" s="62"/>
      <c r="D7" s="62"/>
      <c r="E7" s="63"/>
      <c r="F7" s="62" t="s">
        <v>35</v>
      </c>
      <c r="G7" s="62"/>
      <c r="H7" s="62"/>
      <c r="I7" s="61">
        <v>2553</v>
      </c>
      <c r="J7" s="62"/>
      <c r="K7" s="62"/>
      <c r="L7" s="62"/>
      <c r="M7" s="62"/>
      <c r="N7" s="62"/>
      <c r="O7" s="62"/>
      <c r="P7" s="62"/>
      <c r="Q7" s="63"/>
      <c r="R7" s="72" t="s">
        <v>64</v>
      </c>
      <c r="S7" s="72"/>
      <c r="T7" s="72"/>
      <c r="U7" s="72"/>
      <c r="V7" s="73" t="s">
        <v>36</v>
      </c>
      <c r="W7" s="74"/>
      <c r="X7" s="74"/>
      <c r="Y7" s="74"/>
      <c r="Z7" s="74"/>
      <c r="AA7" s="74"/>
      <c r="AB7" s="75"/>
    </row>
    <row r="8" spans="1:34" ht="8.1" customHeight="1" x14ac:dyDescent="0.3"/>
    <row r="9" spans="1:34" ht="12.75" customHeight="1" x14ac:dyDescent="0.3">
      <c r="A9" s="107" t="s">
        <v>7</v>
      </c>
      <c r="B9" s="108"/>
      <c r="C9" s="108"/>
      <c r="D9" s="109"/>
      <c r="E9" s="116" t="s">
        <v>8</v>
      </c>
      <c r="F9" s="116"/>
      <c r="G9" s="113" t="s">
        <v>9</v>
      </c>
      <c r="H9" s="114"/>
      <c r="I9" s="114"/>
      <c r="J9" s="114"/>
      <c r="K9" s="115"/>
      <c r="L9" s="113" t="s">
        <v>10</v>
      </c>
      <c r="M9" s="115"/>
      <c r="N9" s="116" t="s">
        <v>11</v>
      </c>
      <c r="O9" s="116"/>
      <c r="P9" s="116"/>
      <c r="Q9" s="113" t="s">
        <v>12</v>
      </c>
      <c r="R9" s="114"/>
      <c r="S9" s="114"/>
      <c r="T9" s="114"/>
      <c r="U9" s="115"/>
      <c r="V9" s="113" t="s">
        <v>13</v>
      </c>
      <c r="W9" s="114"/>
      <c r="X9" s="115"/>
      <c r="Y9" s="16"/>
      <c r="AC9" s="12"/>
    </row>
    <row r="10" spans="1:34" x14ac:dyDescent="0.3">
      <c r="A10" s="110"/>
      <c r="B10" s="111"/>
      <c r="C10" s="111"/>
      <c r="D10" s="112"/>
      <c r="E10" s="113" t="s">
        <v>14</v>
      </c>
      <c r="F10" s="114"/>
      <c r="G10" s="115"/>
      <c r="H10" s="113" t="s">
        <v>15</v>
      </c>
      <c r="I10" s="114"/>
      <c r="J10" s="114"/>
      <c r="K10" s="114"/>
      <c r="L10" s="115"/>
      <c r="M10" s="113" t="s">
        <v>16</v>
      </c>
      <c r="N10" s="114"/>
      <c r="O10" s="114"/>
      <c r="P10" s="115"/>
      <c r="Q10" s="113" t="s">
        <v>17</v>
      </c>
      <c r="R10" s="114"/>
      <c r="S10" s="114"/>
      <c r="T10" s="115"/>
      <c r="U10" s="113" t="s">
        <v>18</v>
      </c>
      <c r="V10" s="114"/>
      <c r="W10" s="114"/>
      <c r="X10" s="115"/>
      <c r="Y10" s="16"/>
    </row>
    <row r="11" spans="1:34" x14ac:dyDescent="0.3">
      <c r="A11" s="82"/>
      <c r="B11" s="82"/>
      <c r="C11" s="82"/>
      <c r="D11" s="82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</row>
    <row r="12" spans="1:34" x14ac:dyDescent="0.3">
      <c r="A12" s="83"/>
      <c r="B12" s="83"/>
      <c r="C12" s="83"/>
      <c r="D12" s="8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</row>
    <row r="13" spans="1:34" ht="8.1" customHeight="1" thickBot="1" x14ac:dyDescent="0.35"/>
    <row r="14" spans="1:34" ht="24" customHeight="1" x14ac:dyDescent="0.3">
      <c r="A14" s="94" t="s">
        <v>19</v>
      </c>
      <c r="B14" s="94"/>
      <c r="C14" s="94"/>
      <c r="D14" s="94"/>
      <c r="E14" s="58" t="s">
        <v>20</v>
      </c>
      <c r="F14" s="14" t="s">
        <v>21</v>
      </c>
      <c r="G14" s="95">
        <v>46118</v>
      </c>
      <c r="H14" s="96"/>
      <c r="I14" s="14" t="s">
        <v>22</v>
      </c>
      <c r="J14" s="97">
        <f>G14+1</f>
        <v>46119</v>
      </c>
      <c r="K14" s="98"/>
      <c r="L14" s="14" t="s">
        <v>22</v>
      </c>
      <c r="M14" s="97">
        <f>J14+1</f>
        <v>46120</v>
      </c>
      <c r="N14" s="98"/>
      <c r="O14" s="14" t="s">
        <v>23</v>
      </c>
      <c r="P14" s="97">
        <f>M14+1</f>
        <v>46121</v>
      </c>
      <c r="Q14" s="98"/>
      <c r="R14" s="14" t="s">
        <v>24</v>
      </c>
      <c r="S14" s="97">
        <f>P14+1</f>
        <v>46122</v>
      </c>
      <c r="T14" s="98"/>
      <c r="U14" s="15" t="s">
        <v>25</v>
      </c>
      <c r="V14" s="84">
        <f>S14+1</f>
        <v>46123</v>
      </c>
      <c r="W14" s="85"/>
      <c r="X14" s="15" t="s">
        <v>26</v>
      </c>
      <c r="Y14" s="84">
        <f>V14+1</f>
        <v>46124</v>
      </c>
      <c r="Z14" s="85"/>
      <c r="AA14" s="5"/>
      <c r="AB14" s="57">
        <f>G14-2</f>
        <v>46116</v>
      </c>
    </row>
    <row r="15" spans="1:34" ht="40.200000000000003" customHeight="1" x14ac:dyDescent="0.3">
      <c r="A15" s="25" t="s">
        <v>27</v>
      </c>
      <c r="B15" s="25" t="s">
        <v>61</v>
      </c>
      <c r="C15" s="86" t="s">
        <v>60</v>
      </c>
      <c r="D15" s="87"/>
      <c r="E15" s="24" t="s">
        <v>35</v>
      </c>
      <c r="F15" s="1" t="s">
        <v>28</v>
      </c>
      <c r="G15" s="20" t="s">
        <v>29</v>
      </c>
      <c r="H15" s="17" t="s">
        <v>30</v>
      </c>
      <c r="I15" s="1" t="s">
        <v>28</v>
      </c>
      <c r="J15" s="20" t="s">
        <v>29</v>
      </c>
      <c r="K15" s="17" t="s">
        <v>30</v>
      </c>
      <c r="L15" s="1" t="s">
        <v>28</v>
      </c>
      <c r="M15" s="20" t="s">
        <v>29</v>
      </c>
      <c r="N15" s="17" t="s">
        <v>30</v>
      </c>
      <c r="O15" s="1" t="s">
        <v>28</v>
      </c>
      <c r="P15" s="20" t="s">
        <v>29</v>
      </c>
      <c r="Q15" s="17" t="s">
        <v>30</v>
      </c>
      <c r="R15" s="1" t="s">
        <v>28</v>
      </c>
      <c r="S15" s="20" t="s">
        <v>29</v>
      </c>
      <c r="T15" s="17" t="s">
        <v>30</v>
      </c>
      <c r="U15" s="2" t="s">
        <v>28</v>
      </c>
      <c r="V15" s="11" t="s">
        <v>29</v>
      </c>
      <c r="W15" s="3" t="s">
        <v>30</v>
      </c>
      <c r="X15" s="2" t="s">
        <v>28</v>
      </c>
      <c r="Y15" s="11" t="s">
        <v>29</v>
      </c>
      <c r="Z15" s="3" t="s">
        <v>30</v>
      </c>
      <c r="AA15" s="88" t="s">
        <v>31</v>
      </c>
      <c r="AB15" s="89"/>
    </row>
    <row r="16" spans="1:34" s="6" customFormat="1" ht="24" customHeight="1" x14ac:dyDescent="0.3">
      <c r="A16" s="54"/>
      <c r="B16" s="54" t="s">
        <v>44</v>
      </c>
      <c r="C16" s="90" t="s">
        <v>42</v>
      </c>
      <c r="D16" s="91"/>
      <c r="E16" s="31">
        <f>I7</f>
        <v>2553</v>
      </c>
      <c r="F16" s="35">
        <v>8</v>
      </c>
      <c r="G16" s="36"/>
      <c r="H16" s="37" t="s">
        <v>45</v>
      </c>
      <c r="I16" s="35"/>
      <c r="J16" s="36"/>
      <c r="K16" s="37"/>
      <c r="L16" s="35"/>
      <c r="M16" s="36"/>
      <c r="N16" s="37"/>
      <c r="O16" s="35"/>
      <c r="P16" s="36"/>
      <c r="Q16" s="37"/>
      <c r="R16" s="35"/>
      <c r="S16" s="36"/>
      <c r="T16" s="37"/>
      <c r="U16" s="38"/>
      <c r="V16" s="39"/>
      <c r="W16" s="40"/>
      <c r="X16" s="32"/>
      <c r="Y16" s="33"/>
      <c r="Z16" s="34"/>
      <c r="AA16" s="92"/>
      <c r="AB16" s="93"/>
      <c r="AD16" s="4"/>
      <c r="AE16" s="4"/>
      <c r="AF16" s="4"/>
      <c r="AG16" s="4"/>
      <c r="AH16" s="4"/>
    </row>
    <row r="17" spans="1:46" s="6" customFormat="1" ht="24" customHeight="1" x14ac:dyDescent="0.25">
      <c r="A17" s="54" t="s">
        <v>46</v>
      </c>
      <c r="B17" s="54" t="s">
        <v>47</v>
      </c>
      <c r="C17" s="64" t="s">
        <v>42</v>
      </c>
      <c r="D17" s="65"/>
      <c r="E17" s="31">
        <f>I7</f>
        <v>2553</v>
      </c>
      <c r="F17" s="35"/>
      <c r="G17" s="36"/>
      <c r="H17" s="37"/>
      <c r="I17" s="35">
        <v>3</v>
      </c>
      <c r="J17" s="36"/>
      <c r="K17" s="37"/>
      <c r="L17" s="35"/>
      <c r="M17" s="36"/>
      <c r="N17" s="37"/>
      <c r="O17" s="35"/>
      <c r="P17" s="36"/>
      <c r="Q17" s="37"/>
      <c r="R17" s="35"/>
      <c r="S17" s="36"/>
      <c r="T17" s="37"/>
      <c r="U17" s="38"/>
      <c r="V17" s="39"/>
      <c r="W17" s="40"/>
      <c r="X17" s="38"/>
      <c r="Y17" s="39"/>
      <c r="Z17" s="40"/>
      <c r="AA17" s="66"/>
      <c r="AB17" s="65"/>
    </row>
    <row r="18" spans="1:46" s="6" customFormat="1" ht="24" customHeight="1" x14ac:dyDescent="0.25">
      <c r="A18" s="54" t="s">
        <v>49</v>
      </c>
      <c r="B18" s="54" t="s">
        <v>48</v>
      </c>
      <c r="C18" s="64" t="s">
        <v>42</v>
      </c>
      <c r="D18" s="65"/>
      <c r="E18" s="31">
        <v>2553</v>
      </c>
      <c r="F18" s="35"/>
      <c r="G18" s="36"/>
      <c r="H18" s="37"/>
      <c r="I18" s="35">
        <v>5</v>
      </c>
      <c r="J18" s="36"/>
      <c r="K18" s="37"/>
      <c r="L18" s="35"/>
      <c r="M18" s="36"/>
      <c r="N18" s="37"/>
      <c r="O18" s="35"/>
      <c r="P18" s="36"/>
      <c r="Q18" s="37"/>
      <c r="R18" s="35"/>
      <c r="S18" s="36"/>
      <c r="T18" s="37"/>
      <c r="U18" s="38"/>
      <c r="V18" s="39"/>
      <c r="W18" s="40"/>
      <c r="X18" s="38"/>
      <c r="Y18" s="39"/>
      <c r="Z18" s="40"/>
      <c r="AA18" s="66"/>
      <c r="AB18" s="65"/>
    </row>
    <row r="19" spans="1:46" s="6" customFormat="1" ht="24" customHeight="1" x14ac:dyDescent="0.25">
      <c r="A19" s="54" t="s">
        <v>50</v>
      </c>
      <c r="B19" s="54" t="s">
        <v>51</v>
      </c>
      <c r="C19" s="64" t="s">
        <v>42</v>
      </c>
      <c r="D19" s="65"/>
      <c r="E19" s="31">
        <v>2553</v>
      </c>
      <c r="F19" s="35"/>
      <c r="G19" s="36"/>
      <c r="H19" s="37"/>
      <c r="I19" s="35"/>
      <c r="J19" s="36"/>
      <c r="K19" s="37"/>
      <c r="L19" s="35">
        <v>8</v>
      </c>
      <c r="M19" s="36"/>
      <c r="N19" s="37"/>
      <c r="O19" s="35">
        <v>4</v>
      </c>
      <c r="P19" s="36"/>
      <c r="Q19" s="37"/>
      <c r="R19" s="35"/>
      <c r="S19" s="36"/>
      <c r="T19" s="37"/>
      <c r="U19" s="38"/>
      <c r="V19" s="39"/>
      <c r="W19" s="40"/>
      <c r="X19" s="38"/>
      <c r="Y19" s="39"/>
      <c r="Z19" s="40"/>
      <c r="AA19" s="66"/>
      <c r="AB19" s="65"/>
      <c r="AF19" s="18"/>
    </row>
    <row r="20" spans="1:46" s="6" customFormat="1" ht="24" customHeight="1" x14ac:dyDescent="0.25">
      <c r="A20" s="54" t="s">
        <v>52</v>
      </c>
      <c r="B20" s="54" t="s">
        <v>53</v>
      </c>
      <c r="C20" s="64" t="s">
        <v>42</v>
      </c>
      <c r="D20" s="65"/>
      <c r="E20" s="22">
        <v>2553</v>
      </c>
      <c r="F20" s="35"/>
      <c r="G20" s="59"/>
      <c r="H20" s="37"/>
      <c r="I20" s="35"/>
      <c r="J20" s="36"/>
      <c r="K20" s="37"/>
      <c r="L20" s="35"/>
      <c r="M20" s="36"/>
      <c r="N20" s="37"/>
      <c r="O20" s="35">
        <v>4</v>
      </c>
      <c r="P20" s="36"/>
      <c r="Q20" s="37"/>
      <c r="R20" s="35"/>
      <c r="S20" s="36"/>
      <c r="T20" s="37"/>
      <c r="U20" s="38"/>
      <c r="V20" s="39"/>
      <c r="W20" s="40"/>
      <c r="X20" s="38"/>
      <c r="Y20" s="39"/>
      <c r="Z20" s="40"/>
      <c r="AA20" s="66"/>
      <c r="AB20" s="65"/>
      <c r="AF20" s="18"/>
    </row>
    <row r="21" spans="1:46" s="6" customFormat="1" ht="24" customHeight="1" x14ac:dyDescent="0.25">
      <c r="A21" s="54" t="s">
        <v>54</v>
      </c>
      <c r="B21" s="54" t="s">
        <v>55</v>
      </c>
      <c r="C21" s="64" t="s">
        <v>42</v>
      </c>
      <c r="D21" s="65"/>
      <c r="E21" s="31">
        <v>2553</v>
      </c>
      <c r="F21" s="35"/>
      <c r="G21" s="36"/>
      <c r="H21" s="37"/>
      <c r="I21" s="35"/>
      <c r="J21" s="36"/>
      <c r="K21" s="37"/>
      <c r="L21" s="35"/>
      <c r="M21" s="36"/>
      <c r="N21" s="37"/>
      <c r="O21" s="35"/>
      <c r="P21" s="36"/>
      <c r="Q21" s="37"/>
      <c r="R21" s="35">
        <v>2</v>
      </c>
      <c r="S21" s="36"/>
      <c r="T21" s="37"/>
      <c r="U21" s="38"/>
      <c r="V21" s="39"/>
      <c r="W21" s="40"/>
      <c r="X21" s="38"/>
      <c r="Y21" s="39"/>
      <c r="Z21" s="40"/>
      <c r="AA21" s="66"/>
      <c r="AB21" s="65"/>
    </row>
    <row r="22" spans="1:46" s="6" customFormat="1" ht="24" customHeight="1" x14ac:dyDescent="0.25">
      <c r="A22" s="54" t="s">
        <v>62</v>
      </c>
      <c r="B22" s="54" t="s">
        <v>56</v>
      </c>
      <c r="C22" s="64" t="s">
        <v>42</v>
      </c>
      <c r="D22" s="65"/>
      <c r="E22" s="31">
        <v>2553</v>
      </c>
      <c r="F22" s="35"/>
      <c r="G22" s="36"/>
      <c r="H22" s="37"/>
      <c r="I22" s="35"/>
      <c r="J22" s="36"/>
      <c r="K22" s="37"/>
      <c r="L22" s="35"/>
      <c r="M22" s="36"/>
      <c r="N22" s="37"/>
      <c r="O22" s="35"/>
      <c r="P22" s="36"/>
      <c r="Q22" s="37"/>
      <c r="R22" s="35">
        <v>6</v>
      </c>
      <c r="S22" s="36"/>
      <c r="T22" s="37"/>
      <c r="U22" s="38"/>
      <c r="V22" s="39"/>
      <c r="W22" s="40"/>
      <c r="X22" s="38"/>
      <c r="Y22" s="39"/>
      <c r="Z22" s="40"/>
      <c r="AA22" s="66"/>
      <c r="AB22" s="65"/>
    </row>
    <row r="23" spans="1:46" s="6" customFormat="1" ht="24" customHeight="1" x14ac:dyDescent="0.25">
      <c r="A23" s="54" t="s">
        <v>63</v>
      </c>
      <c r="B23" s="54" t="s">
        <v>57</v>
      </c>
      <c r="C23" s="64" t="s">
        <v>42</v>
      </c>
      <c r="D23" s="65"/>
      <c r="E23" s="31">
        <v>2553</v>
      </c>
      <c r="F23" s="35"/>
      <c r="G23" s="36"/>
      <c r="H23" s="37"/>
      <c r="I23" s="35"/>
      <c r="J23" s="36"/>
      <c r="K23" s="37"/>
      <c r="L23" s="35"/>
      <c r="M23" s="36"/>
      <c r="N23" s="37"/>
      <c r="O23" s="35"/>
      <c r="P23" s="36"/>
      <c r="Q23" s="37"/>
      <c r="R23" s="35"/>
      <c r="S23" s="36"/>
      <c r="T23" s="37"/>
      <c r="U23" s="38">
        <v>6</v>
      </c>
      <c r="V23" s="39"/>
      <c r="W23" s="40" t="s">
        <v>58</v>
      </c>
      <c r="X23" s="38"/>
      <c r="Y23" s="39"/>
      <c r="Z23" s="40"/>
      <c r="AA23" s="66"/>
      <c r="AB23" s="65"/>
    </row>
    <row r="24" spans="1:46" s="6" customFormat="1" ht="24" customHeight="1" x14ac:dyDescent="0.25">
      <c r="A24" s="54" t="s">
        <v>43</v>
      </c>
      <c r="B24" s="54" t="s">
        <v>59</v>
      </c>
      <c r="C24" s="64" t="s">
        <v>42</v>
      </c>
      <c r="D24" s="65"/>
      <c r="E24" s="31">
        <v>2553</v>
      </c>
      <c r="F24" s="35"/>
      <c r="G24" s="36"/>
      <c r="H24" s="37"/>
      <c r="I24" s="35">
        <v>2</v>
      </c>
      <c r="J24" s="36"/>
      <c r="K24" s="37" t="s">
        <v>58</v>
      </c>
      <c r="L24" s="35"/>
      <c r="M24" s="36"/>
      <c r="N24" s="37"/>
      <c r="O24" s="35"/>
      <c r="P24" s="36"/>
      <c r="Q24" s="37"/>
      <c r="R24" s="35"/>
      <c r="S24" s="36"/>
      <c r="T24" s="37"/>
      <c r="U24" s="38"/>
      <c r="V24" s="39"/>
      <c r="W24" s="40"/>
      <c r="X24" s="38"/>
      <c r="Y24" s="39"/>
      <c r="Z24" s="40"/>
      <c r="AA24" s="66"/>
      <c r="AB24" s="65"/>
    </row>
    <row r="25" spans="1:46" s="6" customFormat="1" ht="24" customHeight="1" x14ac:dyDescent="0.25">
      <c r="A25" s="54"/>
      <c r="B25" s="54"/>
      <c r="C25" s="64"/>
      <c r="D25" s="65"/>
      <c r="E25" s="31"/>
      <c r="F25" s="35"/>
      <c r="G25" s="36"/>
      <c r="H25" s="37"/>
      <c r="I25" s="35"/>
      <c r="J25" s="36"/>
      <c r="K25" s="37"/>
      <c r="L25" s="35"/>
      <c r="M25" s="36"/>
      <c r="N25" s="37"/>
      <c r="O25" s="35"/>
      <c r="P25" s="36"/>
      <c r="Q25" s="37"/>
      <c r="R25" s="35"/>
      <c r="S25" s="36"/>
      <c r="T25" s="37"/>
      <c r="U25" s="38"/>
      <c r="V25" s="39"/>
      <c r="W25" s="40"/>
      <c r="X25" s="38"/>
      <c r="Y25" s="39"/>
      <c r="Z25" s="40"/>
      <c r="AA25" s="66"/>
      <c r="AB25" s="65"/>
    </row>
    <row r="26" spans="1:46" s="6" customFormat="1" ht="24" customHeight="1" x14ac:dyDescent="0.25">
      <c r="A26" s="54"/>
      <c r="B26" s="54"/>
      <c r="C26" s="64"/>
      <c r="D26" s="65"/>
      <c r="E26" s="31"/>
      <c r="F26" s="35"/>
      <c r="G26" s="36"/>
      <c r="H26" s="37"/>
      <c r="I26" s="35"/>
      <c r="J26" s="36"/>
      <c r="K26" s="37"/>
      <c r="L26" s="35"/>
      <c r="M26" s="36"/>
      <c r="N26" s="37"/>
      <c r="O26" s="35"/>
      <c r="P26" s="36"/>
      <c r="Q26" s="37"/>
      <c r="R26" s="35"/>
      <c r="S26" s="36"/>
      <c r="T26" s="37"/>
      <c r="U26" s="38"/>
      <c r="V26" s="39"/>
      <c r="W26" s="40"/>
      <c r="X26" s="38"/>
      <c r="Y26" s="39"/>
      <c r="Z26" s="40"/>
      <c r="AA26" s="66"/>
      <c r="AB26" s="65"/>
    </row>
    <row r="27" spans="1:46" s="6" customFormat="1" ht="24" customHeight="1" x14ac:dyDescent="0.25">
      <c r="A27" s="54"/>
      <c r="B27" s="54"/>
      <c r="C27" s="64"/>
      <c r="D27" s="65"/>
      <c r="E27" s="31"/>
      <c r="F27" s="35"/>
      <c r="G27" s="36"/>
      <c r="H27" s="37"/>
      <c r="I27" s="35"/>
      <c r="J27" s="36"/>
      <c r="K27" s="37"/>
      <c r="L27" s="35"/>
      <c r="M27" s="36"/>
      <c r="N27" s="37"/>
      <c r="O27" s="35"/>
      <c r="P27" s="36"/>
      <c r="Q27" s="37"/>
      <c r="R27" s="35"/>
      <c r="S27" s="36"/>
      <c r="T27" s="37"/>
      <c r="U27" s="38"/>
      <c r="V27" s="39"/>
      <c r="W27" s="40"/>
      <c r="X27" s="38"/>
      <c r="Y27" s="39"/>
      <c r="Z27" s="40"/>
      <c r="AA27" s="66"/>
      <c r="AB27" s="65"/>
    </row>
    <row r="28" spans="1:46" s="6" customFormat="1" ht="24" customHeight="1" x14ac:dyDescent="0.25">
      <c r="A28" s="54"/>
      <c r="B28" s="54"/>
      <c r="C28" s="64"/>
      <c r="D28" s="65"/>
      <c r="E28" s="31"/>
      <c r="F28" s="35"/>
      <c r="G28" s="36"/>
      <c r="H28" s="37"/>
      <c r="I28" s="35"/>
      <c r="J28" s="36"/>
      <c r="K28" s="37"/>
      <c r="L28" s="35"/>
      <c r="M28" s="36"/>
      <c r="N28" s="37"/>
      <c r="O28" s="35"/>
      <c r="P28" s="36"/>
      <c r="Q28" s="37"/>
      <c r="R28" s="35"/>
      <c r="S28" s="36"/>
      <c r="T28" s="37"/>
      <c r="U28" s="38"/>
      <c r="V28" s="39"/>
      <c r="W28" s="40"/>
      <c r="X28" s="38"/>
      <c r="Y28" s="39"/>
      <c r="Z28" s="40"/>
      <c r="AA28" s="66"/>
      <c r="AB28" s="6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</row>
    <row r="29" spans="1:46" s="6" customFormat="1" ht="24" customHeight="1" x14ac:dyDescent="0.25">
      <c r="A29" s="54"/>
      <c r="B29" s="54"/>
      <c r="C29" s="64"/>
      <c r="D29" s="65"/>
      <c r="E29" s="31"/>
      <c r="F29" s="35"/>
      <c r="G29" s="36"/>
      <c r="H29" s="37"/>
      <c r="I29" s="35"/>
      <c r="J29" s="36"/>
      <c r="K29" s="37"/>
      <c r="L29" s="35"/>
      <c r="M29" s="36"/>
      <c r="N29" s="37"/>
      <c r="O29" s="35"/>
      <c r="P29" s="36"/>
      <c r="Q29" s="37"/>
      <c r="R29" s="35"/>
      <c r="S29" s="36"/>
      <c r="T29" s="37"/>
      <c r="U29" s="38"/>
      <c r="V29" s="39"/>
      <c r="W29" s="40"/>
      <c r="X29" s="38"/>
      <c r="Y29" s="39"/>
      <c r="Z29" s="40"/>
      <c r="AA29" s="66"/>
      <c r="AB29" s="65"/>
      <c r="AE29" s="5"/>
    </row>
    <row r="30" spans="1:46" s="6" customFormat="1" ht="24" customHeight="1" x14ac:dyDescent="0.25">
      <c r="A30" s="54"/>
      <c r="B30" s="54"/>
      <c r="C30" s="64"/>
      <c r="D30" s="65"/>
      <c r="E30" s="31"/>
      <c r="F30" s="35"/>
      <c r="G30" s="36"/>
      <c r="H30" s="37"/>
      <c r="I30" s="35"/>
      <c r="J30" s="36"/>
      <c r="K30" s="37"/>
      <c r="L30" s="35"/>
      <c r="M30" s="36"/>
      <c r="N30" s="37"/>
      <c r="O30" s="35"/>
      <c r="P30" s="36"/>
      <c r="Q30" s="37"/>
      <c r="R30" s="35"/>
      <c r="S30" s="36"/>
      <c r="T30" s="37"/>
      <c r="U30" s="38"/>
      <c r="V30" s="39"/>
      <c r="W30" s="40"/>
      <c r="X30" s="38"/>
      <c r="Y30" s="39"/>
      <c r="Z30" s="40"/>
      <c r="AA30" s="66"/>
      <c r="AB30" s="65"/>
    </row>
    <row r="31" spans="1:46" s="6" customFormat="1" ht="24" customHeight="1" x14ac:dyDescent="0.25">
      <c r="A31" s="54"/>
      <c r="B31" s="54"/>
      <c r="C31" s="64"/>
      <c r="D31" s="65"/>
      <c r="E31" s="31"/>
      <c r="F31" s="35"/>
      <c r="G31" s="36"/>
      <c r="H31" s="37"/>
      <c r="I31" s="35"/>
      <c r="J31" s="36"/>
      <c r="K31" s="37"/>
      <c r="L31" s="35"/>
      <c r="M31" s="36"/>
      <c r="N31" s="37"/>
      <c r="O31" s="35"/>
      <c r="P31" s="36"/>
      <c r="Q31" s="37"/>
      <c r="R31" s="35"/>
      <c r="S31" s="36"/>
      <c r="T31" s="37"/>
      <c r="U31" s="38"/>
      <c r="V31" s="39"/>
      <c r="W31" s="40"/>
      <c r="X31" s="38"/>
      <c r="Y31" s="39"/>
      <c r="Z31" s="40"/>
      <c r="AA31" s="66"/>
      <c r="AB31" s="65"/>
    </row>
    <row r="32" spans="1:46" s="6" customFormat="1" ht="24" customHeight="1" thickBot="1" x14ac:dyDescent="0.3">
      <c r="A32" s="55"/>
      <c r="B32" s="55"/>
      <c r="C32" s="76"/>
      <c r="D32" s="77"/>
      <c r="E32" s="56"/>
      <c r="F32" s="41"/>
      <c r="G32" s="22"/>
      <c r="H32" s="42"/>
      <c r="I32" s="41"/>
      <c r="J32" s="22"/>
      <c r="K32" s="42"/>
      <c r="L32" s="41"/>
      <c r="M32" s="22"/>
      <c r="N32" s="42"/>
      <c r="O32" s="41"/>
      <c r="P32" s="22"/>
      <c r="Q32" s="42"/>
      <c r="R32" s="41"/>
      <c r="S32" s="22"/>
      <c r="T32" s="42"/>
      <c r="U32" s="43"/>
      <c r="V32" s="44"/>
      <c r="W32" s="45"/>
      <c r="X32" s="43"/>
      <c r="Y32" s="44"/>
      <c r="Z32" s="45"/>
      <c r="AA32" s="78"/>
      <c r="AB32" s="79"/>
    </row>
    <row r="33" spans="1:28" s="6" customFormat="1" ht="24" customHeight="1" thickBot="1" x14ac:dyDescent="0.3">
      <c r="C33" s="22"/>
      <c r="D33" s="22"/>
      <c r="F33" s="46">
        <f>SUM(F16:F32)</f>
        <v>8</v>
      </c>
      <c r="G33" s="47">
        <f>SUM(G16:G32)</f>
        <v>0</v>
      </c>
      <c r="H33" s="48"/>
      <c r="I33" s="46">
        <f>SUM(I16:I32)</f>
        <v>10</v>
      </c>
      <c r="J33" s="47">
        <f>SUM(J16:J32)</f>
        <v>0</v>
      </c>
      <c r="K33" s="48"/>
      <c r="L33" s="49">
        <f>SUM(L16:L32)</f>
        <v>8</v>
      </c>
      <c r="M33" s="47">
        <f>SUM(M16:M32)</f>
        <v>0</v>
      </c>
      <c r="N33" s="48"/>
      <c r="O33" s="49">
        <f>SUM(O16:O32)</f>
        <v>8</v>
      </c>
      <c r="P33" s="47">
        <f>SUM(P16:P32)</f>
        <v>0</v>
      </c>
      <c r="Q33" s="48"/>
      <c r="R33" s="49">
        <f>SUM(R16:R32)</f>
        <v>8</v>
      </c>
      <c r="S33" s="47">
        <f>SUM(S16:S32)</f>
        <v>0</v>
      </c>
      <c r="T33" s="48"/>
      <c r="U33" s="50">
        <f>SUM(U16:U32)</f>
        <v>6</v>
      </c>
      <c r="V33" s="51">
        <f>SUM(V16:V32)</f>
        <v>0</v>
      </c>
      <c r="W33" s="52"/>
      <c r="X33" s="50">
        <f>SUM(X16:X32)</f>
        <v>0</v>
      </c>
      <c r="Y33" s="51">
        <f>SUM(Y16:Y32)</f>
        <v>0</v>
      </c>
      <c r="Z33" s="53"/>
      <c r="AA33" s="105">
        <f>SUM(F33:Z33)</f>
        <v>48</v>
      </c>
      <c r="AB33" s="106"/>
    </row>
    <row r="34" spans="1:28" ht="7.95" customHeight="1" x14ac:dyDescent="0.3">
      <c r="A34" s="8"/>
      <c r="B34" s="8"/>
      <c r="C34" s="8"/>
      <c r="D34" s="8"/>
      <c r="E34" s="8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7"/>
    </row>
    <row r="35" spans="1:28" ht="18" customHeight="1" x14ac:dyDescent="0.3">
      <c r="A35" s="26" t="s">
        <v>37</v>
      </c>
      <c r="B35" s="25" t="s">
        <v>36</v>
      </c>
      <c r="C35" s="67"/>
      <c r="D35" s="67"/>
      <c r="E35" s="67"/>
      <c r="Q35" s="69" t="s">
        <v>37</v>
      </c>
      <c r="R35" s="69"/>
      <c r="S35" s="69"/>
      <c r="T35" s="69"/>
      <c r="U35" s="69"/>
      <c r="V35" s="69"/>
      <c r="W35" s="69"/>
      <c r="X35" s="69" t="s">
        <v>38</v>
      </c>
      <c r="Y35" s="69"/>
      <c r="Z35" s="69"/>
      <c r="AA35" s="69"/>
      <c r="AB35" s="69"/>
    </row>
    <row r="36" spans="1:28" ht="55.2" customHeight="1" x14ac:dyDescent="0.3">
      <c r="A36" s="60" t="s">
        <v>66</v>
      </c>
      <c r="B36" s="27"/>
      <c r="C36" s="68"/>
      <c r="D36" s="68"/>
      <c r="E36" s="68"/>
      <c r="Q36" s="69" t="s">
        <v>40</v>
      </c>
      <c r="R36" s="69"/>
      <c r="S36" s="69"/>
      <c r="T36" s="69"/>
      <c r="U36" s="69"/>
      <c r="V36" s="69"/>
      <c r="W36" s="69"/>
      <c r="X36" s="70"/>
      <c r="Y36" s="70"/>
      <c r="Z36" s="70"/>
      <c r="AA36" s="70"/>
      <c r="AB36" s="70"/>
    </row>
    <row r="37" spans="1:28" ht="33.6" customHeight="1" x14ac:dyDescent="0.3">
      <c r="A37" s="5"/>
      <c r="B37" s="29"/>
      <c r="C37" s="22"/>
      <c r="D37" s="22"/>
      <c r="E37" s="22"/>
      <c r="Q37" s="28"/>
      <c r="R37" s="28"/>
      <c r="S37" s="28"/>
      <c r="T37" s="28"/>
      <c r="U37" s="28"/>
      <c r="V37" s="28"/>
      <c r="W37" s="28"/>
      <c r="X37" s="30"/>
      <c r="Y37" s="30"/>
      <c r="Z37" s="30"/>
      <c r="AA37" s="30"/>
      <c r="AB37" s="30"/>
    </row>
    <row r="38" spans="1:28" ht="14.25" customHeight="1" x14ac:dyDescent="0.3">
      <c r="A38" s="80" t="s">
        <v>32</v>
      </c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</row>
    <row r="39" spans="1:28" ht="3.9" customHeight="1" x14ac:dyDescent="0.3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</row>
    <row r="40" spans="1:28" ht="12.75" customHeight="1" x14ac:dyDescent="0.3">
      <c r="A40" s="71" t="s">
        <v>33</v>
      </c>
      <c r="B40" s="71"/>
      <c r="C40" s="71"/>
      <c r="D40" s="71"/>
      <c r="E40" s="71"/>
      <c r="AB40" s="10" t="s">
        <v>34</v>
      </c>
    </row>
  </sheetData>
  <sheetProtection formatCells="0"/>
  <mergeCells count="81">
    <mergeCell ref="AA33:AB33"/>
    <mergeCell ref="A9:D10"/>
    <mergeCell ref="H10:L10"/>
    <mergeCell ref="E10:G10"/>
    <mergeCell ref="L9:M9"/>
    <mergeCell ref="Q9:U9"/>
    <mergeCell ref="M10:P10"/>
    <mergeCell ref="Q10:T10"/>
    <mergeCell ref="E9:F9"/>
    <mergeCell ref="U10:X10"/>
    <mergeCell ref="C28:D28"/>
    <mergeCell ref="C29:D29"/>
    <mergeCell ref="V9:X9"/>
    <mergeCell ref="G9:K9"/>
    <mergeCell ref="N9:P9"/>
    <mergeCell ref="V14:W14"/>
    <mergeCell ref="A1:Z1"/>
    <mergeCell ref="A2:Z2"/>
    <mergeCell ref="A3:AB3"/>
    <mergeCell ref="AA1:AB2"/>
    <mergeCell ref="D5:E5"/>
    <mergeCell ref="F5:G5"/>
    <mergeCell ref="H5:U5"/>
    <mergeCell ref="F7:H7"/>
    <mergeCell ref="B7:E7"/>
    <mergeCell ref="I7:Q7"/>
    <mergeCell ref="Y14:Z14"/>
    <mergeCell ref="C15:D15"/>
    <mergeCell ref="AA15:AB15"/>
    <mergeCell ref="C16:D16"/>
    <mergeCell ref="AA16:AB16"/>
    <mergeCell ref="A14:D14"/>
    <mergeCell ref="G14:H14"/>
    <mergeCell ref="J14:K14"/>
    <mergeCell ref="M14:N14"/>
    <mergeCell ref="P14:Q14"/>
    <mergeCell ref="S14:T14"/>
    <mergeCell ref="C17:D17"/>
    <mergeCell ref="AA17:AB17"/>
    <mergeCell ref="C18:D18"/>
    <mergeCell ref="AA18:AB18"/>
    <mergeCell ref="C19:D19"/>
    <mergeCell ref="AA19:AB19"/>
    <mergeCell ref="A40:E40"/>
    <mergeCell ref="V5:W5"/>
    <mergeCell ref="R7:U7"/>
    <mergeCell ref="V7:AB7"/>
    <mergeCell ref="C31:D31"/>
    <mergeCell ref="AA31:AB31"/>
    <mergeCell ref="C32:D32"/>
    <mergeCell ref="AA32:AB32"/>
    <mergeCell ref="A38:AB38"/>
    <mergeCell ref="A39:AB39"/>
    <mergeCell ref="C26:D26"/>
    <mergeCell ref="AA26:AB26"/>
    <mergeCell ref="C27:D27"/>
    <mergeCell ref="AA27:AB27"/>
    <mergeCell ref="A11:D12"/>
    <mergeCell ref="C20:D20"/>
    <mergeCell ref="C35:E35"/>
    <mergeCell ref="C36:E36"/>
    <mergeCell ref="X35:AB35"/>
    <mergeCell ref="X36:AB36"/>
    <mergeCell ref="Q35:W35"/>
    <mergeCell ref="Q36:W36"/>
    <mergeCell ref="X5:AB5"/>
    <mergeCell ref="C30:D30"/>
    <mergeCell ref="AA30:AB30"/>
    <mergeCell ref="C23:D23"/>
    <mergeCell ref="AA23:AB23"/>
    <mergeCell ref="C24:D24"/>
    <mergeCell ref="AA24:AB24"/>
    <mergeCell ref="C25:D25"/>
    <mergeCell ref="AA25:AB25"/>
    <mergeCell ref="AA28:AB28"/>
    <mergeCell ref="AA29:AB29"/>
    <mergeCell ref="AA20:AB20"/>
    <mergeCell ref="C21:D21"/>
    <mergeCell ref="AA21:AB21"/>
    <mergeCell ref="C22:D22"/>
    <mergeCell ref="AA22:AB22"/>
  </mergeCells>
  <printOptions horizontalCentered="1" verticalCentered="1"/>
  <pageMargins left="0.19685039370078741" right="0.19685039370078741" top="0.19685039370078741" bottom="0.15748031496062992" header="0.19685039370078741" footer="0.15748031496062992"/>
  <pageSetup paperSize="9" scale="6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B91F92B44EF946A9136953B14A154E" ma:contentTypeVersion="15" ma:contentTypeDescription="Crée un document." ma:contentTypeScope="" ma:versionID="51fa8d90ce2d5d12e90ac85955de4100">
  <xsd:schema xmlns:xsd="http://www.w3.org/2001/XMLSchema" xmlns:xs="http://www.w3.org/2001/XMLSchema" xmlns:p="http://schemas.microsoft.com/office/2006/metadata/properties" xmlns:ns3="1b2f7512-c601-49f1-9264-0093658ae628" xmlns:ns4="f1b1bade-86e3-4001-a02f-da543fb5153c" targetNamespace="http://schemas.microsoft.com/office/2006/metadata/properties" ma:root="true" ma:fieldsID="0d0c4a25ceab12f88ac5517ca0e6ea62" ns3:_="" ns4:_="">
    <xsd:import namespace="1b2f7512-c601-49f1-9264-0093658ae628"/>
    <xsd:import namespace="f1b1bade-86e3-4001-a02f-da543fb5153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2f7512-c601-49f1-9264-0093658ae6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b1bade-86e3-4001-a02f-da543fb5153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b2f7512-c601-49f1-9264-0093658ae6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54B721-C301-4F59-86CC-CEF377CBFA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2f7512-c601-49f1-9264-0093658ae628"/>
    <ds:schemaRef ds:uri="f1b1bade-86e3-4001-a02f-da543fb515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7DB71F-3CB6-4239-9F70-95F894DDD4EF}">
  <ds:schemaRefs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2006/documentManagement/types"/>
    <ds:schemaRef ds:uri="f1b1bade-86e3-4001-a02f-da543fb5153c"/>
    <ds:schemaRef ds:uri="1b2f7512-c601-49f1-9264-0093658ae628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6E50FD6-2AAC-41C7-8FC4-059C4A0EAF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de pointage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Pointage TER MAINT</dc:title>
  <dc:creator>carvalho</dc:creator>
  <cp:lastModifiedBy>Nicolas SALMON</cp:lastModifiedBy>
  <cp:lastPrinted>2025-12-15T10:01:35Z</cp:lastPrinted>
  <dcterms:created xsi:type="dcterms:W3CDTF">2002-12-16T16:40:53Z</dcterms:created>
  <dcterms:modified xsi:type="dcterms:W3CDTF">2026-04-19T20:24:05Z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0x010100B5B91F92B44EF946A9136953B14A154E</vt:lpwstr>
  </property>
  <property fmtid="{D5CDD505-2E9C-101B-9397-08002B2CF9AE}" pid="3" name="ProcessusMaitre">
    <vt:lpwstr>Gestion RH</vt:lpwstr>
  </property>
  <property fmtid="{D5CDD505-2E9C-101B-9397-08002B2CF9AE}" pid="4" name="ReferentielNorme">
    <vt:lpwstr>;#ISO9000 2008 Chapitre 6;#</vt:lpwstr>
  </property>
  <property fmtid="{D5CDD505-2E9C-101B-9397-08002B2CF9AE}" pid="5" name="ClasseDeDocuments">
    <vt:lpwstr>Formulaire</vt:lpwstr>
  </property>
  <property fmtid="{D5CDD505-2E9C-101B-9397-08002B2CF9AE}" pid="6" name="Project">
    <vt:lpwstr/>
  </property>
  <property fmtid="{D5CDD505-2E9C-101B-9397-08002B2CF9AE}" pid="7" name="socom_departement">
    <vt:lpwstr/>
  </property>
  <property fmtid="{D5CDD505-2E9C-101B-9397-08002B2CF9AE}" pid="8" name="k4f37580d6394d98a74807c797bcda15">
    <vt:lpwstr>Formulaires Ressources Humaines|f9ef50eb-8026-4ded-8e87-e6c5f1c9e112</vt:lpwstr>
  </property>
  <property fmtid="{D5CDD505-2E9C-101B-9397-08002B2CF9AE}" pid="9" name="Catégorie de document">
    <vt:lpwstr>1251;#Formulaires Ressources Humaines|f9ef50eb-8026-4ded-8e87-e6c5f1c9e112</vt:lpwstr>
  </property>
  <property fmtid="{D5CDD505-2E9C-101B-9397-08002B2CF9AE}" pid="10" name="p1eb0a1b4e1d4b518cee364a24315b63">
    <vt:lpwstr/>
  </property>
  <property fmtid="{D5CDD505-2E9C-101B-9397-08002B2CF9AE}" pid="11" name="socom_departement_1">
    <vt:lpwstr/>
  </property>
</Properties>
</file>